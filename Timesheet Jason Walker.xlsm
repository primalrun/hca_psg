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QHI6494\Documents\documents_jason\"/>
    </mc:Choice>
  </mc:AlternateContent>
  <bookViews>
    <workbookView xWindow="0" yWindow="8160" windowWidth="20490" windowHeight="8340"/>
  </bookViews>
  <sheets>
    <sheet name="Time Tracker" sheetId="1" r:id="rId1"/>
    <sheet name="Minute to Hour Conversion" sheetId="2" r:id="rId2"/>
  </sheets>
  <definedNames>
    <definedName name="MinuteToHourFraction">'Minute to Hour Conversion'!$A$2:$B$61</definedName>
    <definedName name="_xlnm.Print_Area" localSheetId="1">'Minute to Hour Conversion'!$A$1:$B$61</definedName>
    <definedName name="_xlnm.Print_Titles" localSheetId="1">'Minute to Hour Conversion'!$1:$1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G11" i="1" s="1"/>
  <c r="B11" i="1"/>
  <c r="F10" i="1" l="1"/>
  <c r="G10" i="1" s="1"/>
  <c r="B10" i="1"/>
  <c r="F9" i="1" l="1"/>
  <c r="G9" i="1" s="1"/>
  <c r="B9" i="1"/>
  <c r="G7" i="1" l="1"/>
  <c r="G6" i="1"/>
  <c r="G5" i="1"/>
  <c r="G4" i="1"/>
  <c r="G3" i="1"/>
  <c r="G2" i="1"/>
  <c r="F8" i="1"/>
  <c r="G8" i="1" s="1"/>
  <c r="F7" i="1"/>
  <c r="F6" i="1"/>
  <c r="F5" i="1"/>
  <c r="F4" i="1"/>
  <c r="F3" i="1"/>
  <c r="F2" i="1"/>
  <c r="B8" i="1"/>
  <c r="B7" i="1" l="1"/>
  <c r="B6" i="1"/>
  <c r="B5" i="1"/>
  <c r="B4" i="1"/>
  <c r="B3" i="1"/>
  <c r="B2" i="1"/>
</calcChain>
</file>

<file path=xl/sharedStrings.xml><?xml version="1.0" encoding="utf-8"?>
<sst xmlns="http://schemas.openxmlformats.org/spreadsheetml/2006/main" count="9" uniqueCount="9">
  <si>
    <t>Date</t>
  </si>
  <si>
    <t>Time In</t>
  </si>
  <si>
    <t>Time Out</t>
  </si>
  <si>
    <t>Lunch Reduction</t>
  </si>
  <si>
    <t>Weekday</t>
  </si>
  <si>
    <t>Total Time</t>
  </si>
  <si>
    <t>Total Time Hour Conversion</t>
  </si>
  <si>
    <t>Minute</t>
  </si>
  <si>
    <t>Hour 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</si>
</sst>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h:mm;@"/>
  </numFmts>
  <fonts count="2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83C5C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/>
    </xf>
    <xf numFmtId="14" fontId="0" fillId="0" borderId="0" xfId="0" applyNumberFormat="1"/>
    <xf numFmtId="18" fontId="0" fillId="0" borderId="0" xfId="0" applyNumberFormat="1"/>
    <xf numFmtId="20" fontId="0" fillId="0" borderId="0" xfId="0" applyNumberFormat="1"/>
    <xf numFmtId="164" fontId="0" fillId="0" borderId="0" xfId="0" applyNumberFormat="1"/>
    <xf numFmtId="0" fontId="1" fillId="2" borderId="2" xfId="0" applyFont="1" applyFill="1" applyBorder="1" applyAlignment="1">
      <alignment horizontal="center"/>
    </xf>
    <xf numFmtId="43" fontId="0" fillId="0" borderId="0" xfId="0" applyNumberFormat="1"/>
  </cellXfs>
  <cellStyles count="1">
    <cellStyle name="Normal" xfId="0" builtinId="0"/>
  </cellStyles>
  <dxfs count="4">
    <dxf>
      <fill>
        <patternFill>
          <bgColor rgb="FFD1A375"/>
        </patternFill>
      </fill>
    </dxf>
    <dxf>
      <fill>
        <patternFill>
          <bgColor rgb="FFD1A375"/>
        </patternFill>
      </fill>
    </dxf>
    <dxf>
      <fill>
        <patternFill>
          <bgColor rgb="FFD1A375"/>
        </patternFill>
      </fill>
    </dxf>
    <dxf>
      <fill>
        <patternFill>
          <bgColor rgb="FFD1A375"/>
        </patternFill>
      </fill>
    </dxf>
  </dxfs>
  <tableStyles count="0" defaultTableStyle="TableStyleMedium2" defaultPivotStyle="PivotStyleLight16"/>
  <colors>
    <mruColors>
      <color rgb="FFD1A375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abSelected="1" workbookViewId="0">
      <selection activeCell="A12" sqref="A12"/>
    </sheetView>
  </sheetViews>
  <sheetFormatPr defaultRowHeight="15" x14ac:dyDescent="0.25"/>
  <cols>
    <col min="1" max="1" width="10.7109375" bestFit="1" customWidth="1"/>
    <col min="2" max="2" width="11.42578125" bestFit="1" customWidth="1"/>
    <col min="3" max="3" width="8" bestFit="1" customWidth="1"/>
    <col min="5" max="5" width="15.7109375" bestFit="1" customWidth="1"/>
    <col min="6" max="6" width="10.28515625" bestFit="1" customWidth="1"/>
    <col min="7" max="7" width="26" bestFit="1" customWidth="1"/>
  </cols>
  <sheetData>
    <row r="1" spans="1:7" x14ac:dyDescent="0.25">
      <c r="A1" s="1" t="s">
        <v>0</v>
      </c>
      <c r="B1" s="1" t="s">
        <v>4</v>
      </c>
      <c r="C1" s="1" t="s">
        <v>1</v>
      </c>
      <c r="D1" s="1" t="s">
        <v>2</v>
      </c>
      <c r="E1" s="1" t="s">
        <v>3</v>
      </c>
      <c r="F1" s="1" t="s">
        <v>5</v>
      </c>
      <c r="G1" s="6" t="s">
        <v>6</v>
      </c>
    </row>
    <row r="2" spans="1:7" x14ac:dyDescent="0.25">
      <c r="A2" s="2">
        <v>43409</v>
      </c>
      <c r="B2" s="2" t="str">
        <f>TEXT(A2,"dddd")</f>
        <v>Monday</v>
      </c>
      <c r="C2" s="3">
        <v>0.39583333333333331</v>
      </c>
      <c r="D2" s="3">
        <v>0.72916666666666663</v>
      </c>
      <c r="E2" s="4">
        <v>4.1666666666666664E-2</v>
      </c>
      <c r="F2" s="5">
        <f>IF(D2="","",D2-C2-E2)</f>
        <v>0.29166666666666663</v>
      </c>
      <c r="G2" s="7">
        <f>IFERROR(IF(MINUTE(F2)=0,HOUR(F2),HOUR(F2)+VLOOKUP(MINUTE(F2),'Minute to Hour Conversion'!$A$2:$B$61,2,FALSE)),"")</f>
        <v>7</v>
      </c>
    </row>
    <row r="3" spans="1:7" x14ac:dyDescent="0.25">
      <c r="A3" s="2">
        <v>43410</v>
      </c>
      <c r="B3" s="2" t="str">
        <f t="shared" ref="B3:B7" si="0">TEXT(A3,"dddd")</f>
        <v>Tuesday</v>
      </c>
      <c r="C3" s="3">
        <v>0.33333333333333331</v>
      </c>
      <c r="D3" s="3">
        <v>0.70833333333333337</v>
      </c>
      <c r="E3" s="4">
        <v>4.1666666666666664E-2</v>
      </c>
      <c r="F3" s="5">
        <f t="shared" ref="F3:F8" si="1">IF(D3="","",D3-C3-E3)</f>
        <v>0.33333333333333337</v>
      </c>
      <c r="G3" s="7">
        <f>IFERROR(IF(MINUTE(F3)=0,HOUR(F3),HOUR(F3)+VLOOKUP(MINUTE(F3),'Minute to Hour Conversion'!$A$2:$B$61,2,FALSE)),"")</f>
        <v>8</v>
      </c>
    </row>
    <row r="4" spans="1:7" x14ac:dyDescent="0.25">
      <c r="A4" s="2">
        <v>43411</v>
      </c>
      <c r="B4" s="2" t="str">
        <f t="shared" si="0"/>
        <v>Wednesday</v>
      </c>
      <c r="C4" s="3">
        <v>0.33333333333333331</v>
      </c>
      <c r="D4" s="3">
        <v>0.70833333333333337</v>
      </c>
      <c r="E4" s="4">
        <v>4.1666666666666664E-2</v>
      </c>
      <c r="F4" s="5">
        <f t="shared" si="1"/>
        <v>0.33333333333333337</v>
      </c>
      <c r="G4" s="7">
        <f>IFERROR(IF(MINUTE(F4)=0,HOUR(F4),HOUR(F4)+VLOOKUP(MINUTE(F4),'Minute to Hour Conversion'!$A$2:$B$61,2,FALSE)),"")</f>
        <v>8</v>
      </c>
    </row>
    <row r="5" spans="1:7" x14ac:dyDescent="0.25">
      <c r="A5" s="2">
        <v>43412</v>
      </c>
      <c r="B5" s="2" t="str">
        <f t="shared" si="0"/>
        <v>Thursday</v>
      </c>
      <c r="C5" s="3">
        <v>0.33333333333333331</v>
      </c>
      <c r="D5" s="3">
        <v>0.70833333333333337</v>
      </c>
      <c r="E5" s="4">
        <v>4.1666666666666664E-2</v>
      </c>
      <c r="F5" s="5">
        <f t="shared" si="1"/>
        <v>0.33333333333333337</v>
      </c>
      <c r="G5" s="7">
        <f>IFERROR(IF(MINUTE(F5)=0,HOUR(F5),HOUR(F5)+VLOOKUP(MINUTE(F5),'Minute to Hour Conversion'!$A$2:$B$61,2,FALSE)),"")</f>
        <v>8</v>
      </c>
    </row>
    <row r="6" spans="1:7" x14ac:dyDescent="0.25">
      <c r="A6" s="2">
        <v>43413</v>
      </c>
      <c r="B6" s="2" t="str">
        <f t="shared" si="0"/>
        <v>Friday</v>
      </c>
      <c r="C6" s="3">
        <v>0.34027777777777773</v>
      </c>
      <c r="D6" s="3">
        <v>0.70486111111111116</v>
      </c>
      <c r="E6" s="4">
        <v>3.125E-2</v>
      </c>
      <c r="F6" s="5">
        <f t="shared" si="1"/>
        <v>0.33333333333333343</v>
      </c>
      <c r="G6" s="7">
        <f>IFERROR(IF(MINUTE(F6)=0,HOUR(F6),HOUR(F6)+VLOOKUP(MINUTE(F6),'Minute to Hour Conversion'!$A$2:$B$61,2,FALSE)),"")</f>
        <v>8</v>
      </c>
    </row>
    <row r="7" spans="1:7" x14ac:dyDescent="0.25">
      <c r="A7" s="2">
        <v>43416</v>
      </c>
      <c r="B7" s="2" t="str">
        <f t="shared" si="0"/>
        <v>Monday</v>
      </c>
      <c r="C7" s="3">
        <v>0.33333333333333331</v>
      </c>
      <c r="D7" s="3">
        <v>0.70833333333333337</v>
      </c>
      <c r="E7" s="4">
        <v>3.125E-2</v>
      </c>
      <c r="F7" s="5">
        <f t="shared" si="1"/>
        <v>0.34375000000000006</v>
      </c>
      <c r="G7" s="7">
        <f>IFERROR(IF(MINUTE(F7)=0,HOUR(F7),HOUR(F7)+VLOOKUP(MINUTE(F7),'Minute to Hour Conversion'!$A$2:$B$61,2,FALSE)),"")</f>
        <v>8.25</v>
      </c>
    </row>
    <row r="8" spans="1:7" x14ac:dyDescent="0.25">
      <c r="A8" s="2">
        <v>43417</v>
      </c>
      <c r="B8" s="2" t="str">
        <f t="shared" ref="B8:B10" si="2">TEXT(A8,"dddd")</f>
        <v>Tuesday</v>
      </c>
      <c r="C8" s="3">
        <v>0.33333333333333331</v>
      </c>
      <c r="D8" s="3">
        <v>0.71875</v>
      </c>
      <c r="E8" s="4">
        <v>2.7777777777777776E-2</v>
      </c>
      <c r="F8" s="5">
        <f t="shared" si="1"/>
        <v>0.3576388888888889</v>
      </c>
      <c r="G8" s="7">
        <f>IFERROR(IF(MINUTE(F8)=0,HOUR(F8),HOUR(F8)+VLOOKUP(MINUTE(F8),'Minute to Hour Conversion'!$A$2:$B$61,2,FALSE)),"")</f>
        <v>8.58</v>
      </c>
    </row>
    <row r="9" spans="1:7" x14ac:dyDescent="0.25">
      <c r="A9" s="2">
        <v>43418</v>
      </c>
      <c r="B9" s="2" t="str">
        <f t="shared" si="2"/>
        <v>Wednesday</v>
      </c>
      <c r="C9" s="3">
        <v>0.33680555555555558</v>
      </c>
      <c r="D9" s="3">
        <v>0.71180555555555547</v>
      </c>
      <c r="E9" s="4">
        <v>4.1666666666666664E-2</v>
      </c>
      <c r="F9" s="5">
        <f t="shared" ref="F9" si="3">IF(D9="","",D9-C9-E9)</f>
        <v>0.3333333333333332</v>
      </c>
      <c r="G9" s="7">
        <f>IFERROR(IF(MINUTE(F9)=0,HOUR(F9),HOUR(F9)+VLOOKUP(MINUTE(F9),'Minute to Hour Conversion'!$A$2:$B$61,2,FALSE)),"")</f>
        <v>8</v>
      </c>
    </row>
    <row r="10" spans="1:7" x14ac:dyDescent="0.25">
      <c r="A10" s="2">
        <v>43419</v>
      </c>
      <c r="B10" s="2" t="str">
        <f t="shared" si="2"/>
        <v>Thursday</v>
      </c>
      <c r="C10" s="3">
        <v>0.33333333333333331</v>
      </c>
      <c r="D10" s="3">
        <v>0.70833333333333337</v>
      </c>
      <c r="E10" s="4">
        <v>4.1666666666666664E-2</v>
      </c>
      <c r="F10" s="5">
        <f t="shared" ref="F10" si="4">IF(D10="","",D10-C10-E10)</f>
        <v>0.33333333333333337</v>
      </c>
      <c r="G10" s="7">
        <f>IFERROR(IF(MINUTE(F10)=0,HOUR(F10),HOUR(F10)+VLOOKUP(MINUTE(F10),'Minute to Hour Conversion'!$A$2:$B$61,2,FALSE)),"")</f>
        <v>8</v>
      </c>
    </row>
    <row r="11" spans="1:7" x14ac:dyDescent="0.25">
      <c r="A11" s="2">
        <v>43420</v>
      </c>
      <c r="B11" s="2" t="str">
        <f t="shared" ref="B11" si="5">TEXT(A11,"dddd")</f>
        <v>Friday</v>
      </c>
      <c r="C11" s="3">
        <v>0.33333333333333331</v>
      </c>
      <c r="D11" s="3">
        <v>0.70833333333333337</v>
      </c>
      <c r="E11" s="4">
        <v>3.4722222222222224E-2</v>
      </c>
      <c r="F11" s="5">
        <f t="shared" ref="F11" si="6">IF(D11="","",D11-C11-E11)</f>
        <v>0.34027777777777785</v>
      </c>
      <c r="G11" s="7">
        <f>IFERROR(IF(MINUTE(F11)=0,HOUR(F11),HOUR(F11)+VLOOKUP(MINUTE(F11),'Minute to Hour Conversion'!$A$2:$B$61,2,FALSE)),"")</f>
        <v>8.17</v>
      </c>
    </row>
  </sheetData>
  <conditionalFormatting sqref="A2:G9 B10">
    <cfRule type="expression" dxfId="3" priority="4">
      <formula>WEEKDAY($A2,2)=1</formula>
    </cfRule>
  </conditionalFormatting>
  <conditionalFormatting sqref="C10:G10">
    <cfRule type="expression" dxfId="2" priority="3">
      <formula>WEEKDAY($A10,2)=1</formula>
    </cfRule>
  </conditionalFormatting>
  <conditionalFormatting sqref="B11">
    <cfRule type="expression" dxfId="1" priority="2">
      <formula>WEEKDAY($A11,2)=1</formula>
    </cfRule>
  </conditionalFormatting>
  <conditionalFormatting sqref="C11:G11">
    <cfRule type="expression" dxfId="0" priority="1">
      <formula>WEEKDAY($A11,2)=1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61"/>
  <sheetViews>
    <sheetView workbookViewId="0">
      <pane ySplit="1" topLeftCell="A22" activePane="bottomLeft" state="frozen"/>
      <selection pane="bottomLeft" activeCell="A2" sqref="A2:B61"/>
    </sheetView>
  </sheetViews>
  <sheetFormatPr defaultRowHeight="15" x14ac:dyDescent="0.25"/>
  <cols>
    <col min="1" max="1" width="7.42578125" bestFit="1" customWidth="1"/>
    <col min="2" max="2" width="12.85546875" bestFit="1" customWidth="1"/>
  </cols>
  <sheetData>
    <row r="1" spans="1:2" x14ac:dyDescent="0.25">
      <c r="A1" s="1" t="s">
        <v>7</v>
      </c>
      <c r="B1" s="1" t="s">
        <v>8</v>
      </c>
    </row>
    <row r="2" spans="1:2" x14ac:dyDescent="0.25">
      <c r="A2">
        <v>1</v>
      </c>
      <c r="B2" s="7">
        <v>0.02</v>
      </c>
    </row>
    <row r="3" spans="1:2" x14ac:dyDescent="0.25">
      <c r="A3">
        <v>2</v>
      </c>
      <c r="B3" s="7">
        <v>0.03</v>
      </c>
    </row>
    <row r="4" spans="1:2" x14ac:dyDescent="0.25">
      <c r="A4">
        <v>3</v>
      </c>
      <c r="B4" s="7">
        <v>0.05</v>
      </c>
    </row>
    <row r="5" spans="1:2" x14ac:dyDescent="0.25">
      <c r="A5">
        <v>4</v>
      </c>
      <c r="B5" s="7">
        <v>7.0000000000000007E-2</v>
      </c>
    </row>
    <row r="6" spans="1:2" x14ac:dyDescent="0.25">
      <c r="A6">
        <v>5</v>
      </c>
      <c r="B6" s="7">
        <v>0.08</v>
      </c>
    </row>
    <row r="7" spans="1:2" x14ac:dyDescent="0.25">
      <c r="A7">
        <v>6</v>
      </c>
      <c r="B7" s="7">
        <v>0.1</v>
      </c>
    </row>
    <row r="8" spans="1:2" x14ac:dyDescent="0.25">
      <c r="A8">
        <v>7</v>
      </c>
      <c r="B8" s="7">
        <v>0.12</v>
      </c>
    </row>
    <row r="9" spans="1:2" x14ac:dyDescent="0.25">
      <c r="A9">
        <v>8</v>
      </c>
      <c r="B9" s="7">
        <v>0.13</v>
      </c>
    </row>
    <row r="10" spans="1:2" x14ac:dyDescent="0.25">
      <c r="A10">
        <v>9</v>
      </c>
      <c r="B10" s="7">
        <v>0.15</v>
      </c>
    </row>
    <row r="11" spans="1:2" x14ac:dyDescent="0.25">
      <c r="A11">
        <v>10</v>
      </c>
      <c r="B11" s="7">
        <v>0.17</v>
      </c>
    </row>
    <row r="12" spans="1:2" x14ac:dyDescent="0.25">
      <c r="A12">
        <v>11</v>
      </c>
      <c r="B12" s="7">
        <v>0.18</v>
      </c>
    </row>
    <row r="13" spans="1:2" x14ac:dyDescent="0.25">
      <c r="A13">
        <v>12</v>
      </c>
      <c r="B13" s="7">
        <v>0.2</v>
      </c>
    </row>
    <row r="14" spans="1:2" x14ac:dyDescent="0.25">
      <c r="A14">
        <v>13</v>
      </c>
      <c r="B14" s="7">
        <v>0.22</v>
      </c>
    </row>
    <row r="15" spans="1:2" x14ac:dyDescent="0.25">
      <c r="A15">
        <v>14</v>
      </c>
      <c r="B15" s="7">
        <v>0.23</v>
      </c>
    </row>
    <row r="16" spans="1:2" x14ac:dyDescent="0.25">
      <c r="A16">
        <v>15</v>
      </c>
      <c r="B16" s="7">
        <v>0.25</v>
      </c>
    </row>
    <row r="17" spans="1:2" x14ac:dyDescent="0.25">
      <c r="A17">
        <v>16</v>
      </c>
      <c r="B17" s="7">
        <v>0.27</v>
      </c>
    </row>
    <row r="18" spans="1:2" x14ac:dyDescent="0.25">
      <c r="A18">
        <v>17</v>
      </c>
      <c r="B18" s="7">
        <v>0.28000000000000003</v>
      </c>
    </row>
    <row r="19" spans="1:2" x14ac:dyDescent="0.25">
      <c r="A19">
        <v>18</v>
      </c>
      <c r="B19" s="7">
        <v>0.3</v>
      </c>
    </row>
    <row r="20" spans="1:2" x14ac:dyDescent="0.25">
      <c r="A20">
        <v>19</v>
      </c>
      <c r="B20" s="7">
        <v>0.32</v>
      </c>
    </row>
    <row r="21" spans="1:2" x14ac:dyDescent="0.25">
      <c r="A21">
        <v>20</v>
      </c>
      <c r="B21" s="7">
        <v>0.33</v>
      </c>
    </row>
    <row r="22" spans="1:2" x14ac:dyDescent="0.25">
      <c r="A22">
        <v>21</v>
      </c>
      <c r="B22" s="7">
        <v>0.35</v>
      </c>
    </row>
    <row r="23" spans="1:2" x14ac:dyDescent="0.25">
      <c r="A23">
        <v>22</v>
      </c>
      <c r="B23" s="7">
        <v>0.37</v>
      </c>
    </row>
    <row r="24" spans="1:2" x14ac:dyDescent="0.25">
      <c r="A24">
        <v>23</v>
      </c>
      <c r="B24" s="7">
        <v>0.38</v>
      </c>
    </row>
    <row r="25" spans="1:2" x14ac:dyDescent="0.25">
      <c r="A25">
        <v>24</v>
      </c>
      <c r="B25" s="7">
        <v>0.4</v>
      </c>
    </row>
    <row r="26" spans="1:2" x14ac:dyDescent="0.25">
      <c r="A26">
        <v>25</v>
      </c>
      <c r="B26" s="7">
        <v>0.42</v>
      </c>
    </row>
    <row r="27" spans="1:2" x14ac:dyDescent="0.25">
      <c r="A27">
        <v>26</v>
      </c>
      <c r="B27" s="7">
        <v>0.43</v>
      </c>
    </row>
    <row r="28" spans="1:2" x14ac:dyDescent="0.25">
      <c r="A28">
        <v>27</v>
      </c>
      <c r="B28" s="7">
        <v>0.45</v>
      </c>
    </row>
    <row r="29" spans="1:2" x14ac:dyDescent="0.25">
      <c r="A29">
        <v>28</v>
      </c>
      <c r="B29" s="7">
        <v>0.47</v>
      </c>
    </row>
    <row r="30" spans="1:2" x14ac:dyDescent="0.25">
      <c r="A30">
        <v>29</v>
      </c>
      <c r="B30" s="7">
        <v>0.48</v>
      </c>
    </row>
    <row r="31" spans="1:2" x14ac:dyDescent="0.25">
      <c r="A31">
        <v>30</v>
      </c>
      <c r="B31" s="7">
        <v>0.5</v>
      </c>
    </row>
    <row r="32" spans="1:2" x14ac:dyDescent="0.25">
      <c r="A32">
        <v>31</v>
      </c>
      <c r="B32" s="7">
        <v>0.52</v>
      </c>
    </row>
    <row r="33" spans="1:2" x14ac:dyDescent="0.25">
      <c r="A33">
        <v>32</v>
      </c>
      <c r="B33" s="7">
        <v>0.53</v>
      </c>
    </row>
    <row r="34" spans="1:2" x14ac:dyDescent="0.25">
      <c r="A34">
        <v>33</v>
      </c>
      <c r="B34" s="7">
        <v>0.55000000000000004</v>
      </c>
    </row>
    <row r="35" spans="1:2" x14ac:dyDescent="0.25">
      <c r="A35">
        <v>34</v>
      </c>
      <c r="B35" s="7">
        <v>0.56999999999999995</v>
      </c>
    </row>
    <row r="36" spans="1:2" x14ac:dyDescent="0.25">
      <c r="A36">
        <v>35</v>
      </c>
      <c r="B36" s="7">
        <v>0.57999999999999996</v>
      </c>
    </row>
    <row r="37" spans="1:2" x14ac:dyDescent="0.25">
      <c r="A37">
        <v>36</v>
      </c>
      <c r="B37" s="7">
        <v>0.6</v>
      </c>
    </row>
    <row r="38" spans="1:2" x14ac:dyDescent="0.25">
      <c r="A38">
        <v>37</v>
      </c>
      <c r="B38" s="7">
        <v>0.62</v>
      </c>
    </row>
    <row r="39" spans="1:2" x14ac:dyDescent="0.25">
      <c r="A39">
        <v>38</v>
      </c>
      <c r="B39" s="7">
        <v>0.63</v>
      </c>
    </row>
    <row r="40" spans="1:2" x14ac:dyDescent="0.25">
      <c r="A40">
        <v>39</v>
      </c>
      <c r="B40" s="7">
        <v>0.65</v>
      </c>
    </row>
    <row r="41" spans="1:2" x14ac:dyDescent="0.25">
      <c r="A41">
        <v>40</v>
      </c>
      <c r="B41" s="7">
        <v>0.67</v>
      </c>
    </row>
    <row r="42" spans="1:2" x14ac:dyDescent="0.25">
      <c r="A42">
        <v>41</v>
      </c>
      <c r="B42" s="7">
        <v>0.68</v>
      </c>
    </row>
    <row r="43" spans="1:2" x14ac:dyDescent="0.25">
      <c r="A43">
        <v>42</v>
      </c>
      <c r="B43" s="7">
        <v>0.7</v>
      </c>
    </row>
    <row r="44" spans="1:2" x14ac:dyDescent="0.25">
      <c r="A44">
        <v>43</v>
      </c>
      <c r="B44" s="7">
        <v>0.72</v>
      </c>
    </row>
    <row r="45" spans="1:2" x14ac:dyDescent="0.25">
      <c r="A45">
        <v>44</v>
      </c>
      <c r="B45" s="7">
        <v>0.73</v>
      </c>
    </row>
    <row r="46" spans="1:2" x14ac:dyDescent="0.25">
      <c r="A46">
        <v>45</v>
      </c>
      <c r="B46" s="7">
        <v>0.75</v>
      </c>
    </row>
    <row r="47" spans="1:2" x14ac:dyDescent="0.25">
      <c r="A47">
        <v>46</v>
      </c>
      <c r="B47" s="7">
        <v>0.77</v>
      </c>
    </row>
    <row r="48" spans="1:2" x14ac:dyDescent="0.25">
      <c r="A48">
        <v>47</v>
      </c>
      <c r="B48" s="7">
        <v>0.78</v>
      </c>
    </row>
    <row r="49" spans="1:2" x14ac:dyDescent="0.25">
      <c r="A49">
        <v>48</v>
      </c>
      <c r="B49" s="7">
        <v>0.8</v>
      </c>
    </row>
    <row r="50" spans="1:2" x14ac:dyDescent="0.25">
      <c r="A50">
        <v>49</v>
      </c>
      <c r="B50" s="7">
        <v>0.82</v>
      </c>
    </row>
    <row r="51" spans="1:2" x14ac:dyDescent="0.25">
      <c r="A51">
        <v>50</v>
      </c>
      <c r="B51" s="7">
        <v>0.83</v>
      </c>
    </row>
    <row r="52" spans="1:2" x14ac:dyDescent="0.25">
      <c r="A52">
        <v>51</v>
      </c>
      <c r="B52" s="7">
        <v>0.85</v>
      </c>
    </row>
    <row r="53" spans="1:2" x14ac:dyDescent="0.25">
      <c r="A53">
        <v>52</v>
      </c>
      <c r="B53" s="7">
        <v>0.87</v>
      </c>
    </row>
    <row r="54" spans="1:2" x14ac:dyDescent="0.25">
      <c r="A54">
        <v>53</v>
      </c>
      <c r="B54" s="7">
        <v>0.88</v>
      </c>
    </row>
    <row r="55" spans="1:2" x14ac:dyDescent="0.25">
      <c r="A55">
        <v>54</v>
      </c>
      <c r="B55" s="7">
        <v>0.9</v>
      </c>
    </row>
    <row r="56" spans="1:2" x14ac:dyDescent="0.25">
      <c r="A56">
        <v>55</v>
      </c>
      <c r="B56" s="7">
        <v>0.92</v>
      </c>
    </row>
    <row r="57" spans="1:2" x14ac:dyDescent="0.25">
      <c r="A57">
        <v>56</v>
      </c>
      <c r="B57" s="7">
        <v>0.93</v>
      </c>
    </row>
    <row r="58" spans="1:2" x14ac:dyDescent="0.25">
      <c r="A58">
        <v>57</v>
      </c>
      <c r="B58" s="7">
        <v>0.95</v>
      </c>
    </row>
    <row r="59" spans="1:2" x14ac:dyDescent="0.25">
      <c r="A59">
        <v>58</v>
      </c>
      <c r="B59" s="7">
        <v>0.97</v>
      </c>
    </row>
    <row r="60" spans="1:2" x14ac:dyDescent="0.25">
      <c r="A60">
        <v>59</v>
      </c>
      <c r="B60" s="7">
        <v>0.98</v>
      </c>
    </row>
    <row r="61" spans="1:2" x14ac:dyDescent="0.25">
      <c r="A61">
        <v>60</v>
      </c>
      <c r="B61" s="7">
        <v>1</v>
      </c>
    </row>
  </sheetData>
  <printOptions horizontalCentered="1"/>
  <pageMargins left="0.3" right="0.3" top="0.5" bottom="0.75" header="0.3" footer="0.3"/>
  <pageSetup fitToHeight="2000" orientation="portrait" r:id="rId1"/>
  <headerFooter>
    <oddFooter>&amp;LPSG Data Management &amp;&amp; BI&amp;RPage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Time Tracker</vt:lpstr>
      <vt:lpstr>Minute to Hour Conversion</vt:lpstr>
      <vt:lpstr>MinuteToHourFraction</vt:lpstr>
      <vt:lpstr>'Minute to Hour Conversion'!Print_Area</vt:lpstr>
      <vt:lpstr>'Minute to Hour Conversion'!Print_Titles</vt:lpstr>
    </vt:vector>
  </TitlesOfParts>
  <Company>HCA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QHI6494</dc:creator>
  <cp:lastModifiedBy>QHI6494</cp:lastModifiedBy>
  <cp:lastPrinted>2018-11-13T14:15:10Z</cp:lastPrinted>
  <dcterms:created xsi:type="dcterms:W3CDTF">2018-11-05T22:42:05Z</dcterms:created>
  <dcterms:modified xsi:type="dcterms:W3CDTF">2018-11-16T22:59:55Z</dcterms:modified>
</cp:coreProperties>
</file>