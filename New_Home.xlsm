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financial\"/>
    </mc:Choice>
  </mc:AlternateContent>
  <xr:revisionPtr revIDLastSave="0" documentId="13_ncr:1_{A00AD76D-739B-44F0-B466-91311D7E2A85}" xr6:coauthVersionLast="45" xr6:coauthVersionMax="45" xr10:uidLastSave="{00000000-0000-0000-0000-000000000000}"/>
  <bookViews>
    <workbookView xWindow="-108" yWindow="-108" windowWidth="23256" windowHeight="12576" activeTab="4" xr2:uid="{6DAA3F4C-4405-4736-B144-AC595353E052}"/>
  </bookViews>
  <sheets>
    <sheet name="home_sale" sheetId="3" r:id="rId1"/>
    <sheet name="new_home" sheetId="2" r:id="rId2"/>
    <sheet name="Sheet1" sheetId="5" r:id="rId3"/>
    <sheet name="comps" sheetId="4" r:id="rId4"/>
    <sheet name="budget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6" l="1"/>
  <c r="B2" i="6"/>
  <c r="C3" i="6"/>
  <c r="B18" i="6"/>
  <c r="B17" i="6"/>
  <c r="B16" i="6"/>
  <c r="B14" i="6"/>
  <c r="B13" i="6"/>
  <c r="B12" i="6"/>
  <c r="B9" i="6"/>
  <c r="H1" i="6"/>
  <c r="G1" i="6"/>
  <c r="A3" i="5" l="1"/>
  <c r="A2" i="5"/>
  <c r="Q6" i="2" l="1"/>
  <c r="D6" i="2"/>
  <c r="Q5" i="2"/>
  <c r="S5" i="2"/>
  <c r="S7" i="2" s="1"/>
  <c r="D5" i="2"/>
  <c r="Q4" i="2"/>
  <c r="D4" i="2"/>
  <c r="Q3" i="2"/>
  <c r="D3" i="2"/>
  <c r="E5" i="4"/>
  <c r="E4" i="4"/>
  <c r="E3" i="4"/>
  <c r="E2" i="4"/>
  <c r="B10" i="3"/>
  <c r="Q2" i="2"/>
  <c r="D2" i="2"/>
  <c r="B3" i="3"/>
  <c r="B5" i="3" s="1"/>
  <c r="B6" i="3" s="1"/>
  <c r="B8" i="3" s="1"/>
</calcChain>
</file>

<file path=xl/sharedStrings.xml><?xml version="1.0" encoding="utf-8"?>
<sst xmlns="http://schemas.openxmlformats.org/spreadsheetml/2006/main" count="72" uniqueCount="65">
  <si>
    <t>Profit</t>
  </si>
  <si>
    <t>Sales Price</t>
  </si>
  <si>
    <t>Commission Rate</t>
  </si>
  <si>
    <t>Commission Amount</t>
  </si>
  <si>
    <t>Closing Cost</t>
  </si>
  <si>
    <t>Selling Cost</t>
  </si>
  <si>
    <t>Sales Amount after Selling Cost</t>
  </si>
  <si>
    <t>Mortgage Balance</t>
  </si>
  <si>
    <t>Address</t>
  </si>
  <si>
    <t>9539 Plantation Rd, Olive Branch, MS, 38654</t>
  </si>
  <si>
    <t>Bed_Number</t>
  </si>
  <si>
    <t>Bath_Number</t>
  </si>
  <si>
    <t>Office_Flag</t>
  </si>
  <si>
    <t>Bonus_Flag</t>
  </si>
  <si>
    <t>Kitchen_Special_Flag</t>
  </si>
  <si>
    <t>Garage_Car_Capacity</t>
  </si>
  <si>
    <t>Year_Built</t>
  </si>
  <si>
    <t>Lot_Size</t>
  </si>
  <si>
    <t>.25 Acre</t>
  </si>
  <si>
    <t>Price</t>
  </si>
  <si>
    <t>Home_Square_Feet</t>
  </si>
  <si>
    <t>Price_Per_Square_Foot</t>
  </si>
  <si>
    <t>Days_on_Market</t>
  </si>
  <si>
    <t>Market_Date</t>
  </si>
  <si>
    <t>School</t>
  </si>
  <si>
    <t>Center Hill</t>
  </si>
  <si>
    <t>Square Feet</t>
  </si>
  <si>
    <t>Price/Square Foot</t>
  </si>
  <si>
    <t>School_Area</t>
  </si>
  <si>
    <t>Lewisburg</t>
  </si>
  <si>
    <t>Sales_Price</t>
  </si>
  <si>
    <t>Square_Feet</t>
  </si>
  <si>
    <t>Olive Branch</t>
  </si>
  <si>
    <t>Desoto Central</t>
  </si>
  <si>
    <t>5345 Melville Cv, Olive Branch, MS, 38654</t>
  </si>
  <si>
    <t>.55 Acre</t>
  </si>
  <si>
    <t>Cove_Flag</t>
  </si>
  <si>
    <t>5125 Rolling Pine Cir E, Olive Branch, MS, 38654</t>
  </si>
  <si>
    <t>3.2 Acre</t>
  </si>
  <si>
    <t>6150 Autumn Oaks Dr, Olive Branch, MS, 38654</t>
  </si>
  <si>
    <t>1.4 Acre</t>
  </si>
  <si>
    <t>Game_Flag</t>
  </si>
  <si>
    <t>4801 Tara Cv, Olive Branch, MS, 38654</t>
  </si>
  <si>
    <t>1 Acre</t>
  </si>
  <si>
    <t>income</t>
  </si>
  <si>
    <t>property tax</t>
  </si>
  <si>
    <t>property insurance</t>
  </si>
  <si>
    <t>mortgage prinicipal and interest</t>
  </si>
  <si>
    <t>net amount</t>
  </si>
  <si>
    <t>utilities</t>
  </si>
  <si>
    <t>gasoline</t>
  </si>
  <si>
    <t>groceries</t>
  </si>
  <si>
    <t>car insurance and umbrella policy</t>
  </si>
  <si>
    <t>cell phone</t>
  </si>
  <si>
    <t>streaming</t>
  </si>
  <si>
    <t>amazon prime</t>
  </si>
  <si>
    <t>costco membership</t>
  </si>
  <si>
    <t>medical</t>
  </si>
  <si>
    <t>bark</t>
  </si>
  <si>
    <t>microsoft</t>
  </si>
  <si>
    <t>pet</t>
  </si>
  <si>
    <t>clothing</t>
  </si>
  <si>
    <t>lastpass</t>
  </si>
  <si>
    <t>state income tax</t>
  </si>
  <si>
    <t>annual gross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</si>
</sst>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2">
    <xf numFmtId="0" fontId="0" fillId="0" borderId="0" xfId="0"/>
    <xf numFmtId="4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4" fontId="0" fillId="0" borderId="0" xfId="0" applyNumberFormat="1"/>
    <xf numFmtId="37" fontId="0" fillId="0" borderId="0" xfId="0" applyNumberFormat="1"/>
    <xf numFmtId="164" fontId="0" fillId="0" borderId="0" xfId="0" applyNumberFormat="1" applyFill="1" applyBorder="1"/>
    <xf numFmtId="0" fontId="0" fillId="3" borderId="0" xfId="0" applyFill="1"/>
    <xf numFmtId="164" fontId="0" fillId="3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68C3A-DE47-4C06-ACAB-C2B50688097E}">
  <dimension ref="A1:B10"/>
  <sheetViews>
    <sheetView workbookViewId="0">
      <selection activeCell="A11" sqref="A11"/>
    </sheetView>
  </sheetViews>
  <sheetFormatPr defaultRowHeight="14.4" x14ac:dyDescent="0.3"/>
  <cols>
    <col min="1" max="1" width="26.5546875" bestFit="1" customWidth="1"/>
    <col min="2" max="2" width="11.109375" bestFit="1" customWidth="1"/>
  </cols>
  <sheetData>
    <row r="1" spans="1:2" x14ac:dyDescent="0.3">
      <c r="A1" t="s">
        <v>1</v>
      </c>
      <c r="B1" s="2">
        <v>455000</v>
      </c>
    </row>
    <row r="2" spans="1:2" x14ac:dyDescent="0.3">
      <c r="A2" t="s">
        <v>2</v>
      </c>
      <c r="B2" s="3">
        <v>5.5E-2</v>
      </c>
    </row>
    <row r="3" spans="1:2" x14ac:dyDescent="0.3">
      <c r="A3" t="s">
        <v>3</v>
      </c>
      <c r="B3" s="1">
        <f>B1*B2</f>
        <v>25025</v>
      </c>
    </row>
    <row r="4" spans="1:2" x14ac:dyDescent="0.3">
      <c r="A4" t="s">
        <v>4</v>
      </c>
      <c r="B4" s="2">
        <v>5000</v>
      </c>
    </row>
    <row r="5" spans="1:2" x14ac:dyDescent="0.3">
      <c r="A5" t="s">
        <v>5</v>
      </c>
      <c r="B5" s="1">
        <f>B3+B4</f>
        <v>30025</v>
      </c>
    </row>
    <row r="6" spans="1:2" x14ac:dyDescent="0.3">
      <c r="A6" t="s">
        <v>6</v>
      </c>
      <c r="B6" s="1">
        <f>+B1-B5</f>
        <v>424975</v>
      </c>
    </row>
    <row r="7" spans="1:2" x14ac:dyDescent="0.3">
      <c r="A7" t="s">
        <v>7</v>
      </c>
      <c r="B7" s="1">
        <v>211275.08</v>
      </c>
    </row>
    <row r="8" spans="1:2" x14ac:dyDescent="0.3">
      <c r="A8" t="s">
        <v>0</v>
      </c>
      <c r="B8" s="1">
        <f>B6-B7</f>
        <v>213699.92</v>
      </c>
    </row>
    <row r="9" spans="1:2" x14ac:dyDescent="0.3">
      <c r="A9" t="s">
        <v>26</v>
      </c>
      <c r="B9" s="2">
        <v>2140</v>
      </c>
    </row>
    <row r="10" spans="1:2" x14ac:dyDescent="0.3">
      <c r="A10" t="s">
        <v>27</v>
      </c>
      <c r="B10" s="1">
        <f>B1/B9</f>
        <v>212.61682242990653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8A86A-EB37-4EF3-A643-698710EDDDBF}">
  <dimension ref="A1:S8"/>
  <sheetViews>
    <sheetView workbookViewId="0">
      <pane ySplit="1" topLeftCell="A2" activePane="bottomLeft" state="frozen"/>
      <selection pane="bottomLeft" activeCell="A7" sqref="A7"/>
    </sheetView>
  </sheetViews>
  <sheetFormatPr defaultRowHeight="14.4" x14ac:dyDescent="0.3"/>
  <cols>
    <col min="1" max="1" width="40.109375" bestFit="1" customWidth="1"/>
    <col min="2" max="2" width="8.5546875" bestFit="1" customWidth="1"/>
    <col min="3" max="3" width="17.21875" bestFit="1" customWidth="1"/>
    <col min="4" max="4" width="20.21875" bestFit="1" customWidth="1"/>
    <col min="5" max="5" width="11.6640625" bestFit="1" customWidth="1"/>
    <col min="6" max="6" width="12.33203125" bestFit="1" customWidth="1"/>
    <col min="7" max="8" width="12.33203125" customWidth="1"/>
    <col min="9" max="9" width="13.33203125" bestFit="1" customWidth="1"/>
    <col min="10" max="10" width="13.33203125" customWidth="1"/>
    <col min="11" max="11" width="10.21875" bestFit="1" customWidth="1"/>
    <col min="12" max="12" width="10.21875" customWidth="1"/>
    <col min="13" max="13" width="10.21875" bestFit="1" customWidth="1"/>
    <col min="14" max="14" width="18.109375" bestFit="1" customWidth="1"/>
    <col min="15" max="15" width="18.77734375" bestFit="1" customWidth="1"/>
    <col min="16" max="16" width="18.77734375" customWidth="1"/>
    <col min="17" max="17" width="15" bestFit="1" customWidth="1"/>
    <col min="19" max="20" width="10.5546875" bestFit="1" customWidth="1"/>
  </cols>
  <sheetData>
    <row r="1" spans="1:19" x14ac:dyDescent="0.3">
      <c r="A1" s="5" t="s">
        <v>8</v>
      </c>
      <c r="B1" s="5" t="s">
        <v>19</v>
      </c>
      <c r="C1" s="5" t="s">
        <v>20</v>
      </c>
      <c r="D1" s="5" t="s">
        <v>21</v>
      </c>
      <c r="E1" s="5" t="s">
        <v>10</v>
      </c>
      <c r="F1" s="5" t="s">
        <v>11</v>
      </c>
      <c r="G1" s="5" t="s">
        <v>17</v>
      </c>
      <c r="H1" s="5" t="s">
        <v>16</v>
      </c>
      <c r="I1" s="5" t="s">
        <v>24</v>
      </c>
      <c r="J1" s="5" t="s">
        <v>36</v>
      </c>
      <c r="K1" s="5" t="s">
        <v>12</v>
      </c>
      <c r="L1" s="5" t="s">
        <v>41</v>
      </c>
      <c r="M1" s="5" t="s">
        <v>13</v>
      </c>
      <c r="N1" s="5" t="s">
        <v>14</v>
      </c>
      <c r="O1" s="4" t="s">
        <v>15</v>
      </c>
      <c r="P1" s="4" t="s">
        <v>23</v>
      </c>
      <c r="Q1" s="4" t="s">
        <v>22</v>
      </c>
    </row>
    <row r="2" spans="1:19" x14ac:dyDescent="0.3">
      <c r="A2" t="s">
        <v>9</v>
      </c>
      <c r="B2" s="2">
        <v>375000</v>
      </c>
      <c r="C2" s="2">
        <v>3342</v>
      </c>
      <c r="D2" s="1">
        <f>+B2/C2</f>
        <v>112.20825852782765</v>
      </c>
      <c r="E2">
        <v>4</v>
      </c>
      <c r="F2">
        <v>3.5</v>
      </c>
      <c r="G2" t="s">
        <v>18</v>
      </c>
      <c r="H2">
        <v>1996</v>
      </c>
      <c r="I2" t="s">
        <v>25</v>
      </c>
      <c r="J2">
        <v>0</v>
      </c>
      <c r="K2">
        <v>0</v>
      </c>
      <c r="L2">
        <v>0</v>
      </c>
      <c r="M2">
        <v>0</v>
      </c>
      <c r="N2">
        <v>1</v>
      </c>
      <c r="O2">
        <v>2</v>
      </c>
      <c r="P2" s="6">
        <v>44144</v>
      </c>
      <c r="Q2" s="7">
        <f ca="1">TODAY()-P2</f>
        <v>48</v>
      </c>
    </row>
    <row r="3" spans="1:19" x14ac:dyDescent="0.3">
      <c r="A3" t="s">
        <v>34</v>
      </c>
      <c r="B3" s="2">
        <v>339900</v>
      </c>
      <c r="C3" s="2">
        <v>2607</v>
      </c>
      <c r="D3" s="1">
        <f>+B3/C3</f>
        <v>130.37974683544303</v>
      </c>
      <c r="E3">
        <v>5</v>
      </c>
      <c r="F3">
        <v>3</v>
      </c>
      <c r="G3" t="s">
        <v>35</v>
      </c>
      <c r="H3">
        <v>2020</v>
      </c>
      <c r="I3" t="s">
        <v>33</v>
      </c>
      <c r="J3">
        <v>1</v>
      </c>
      <c r="K3">
        <v>0</v>
      </c>
      <c r="L3">
        <v>0</v>
      </c>
      <c r="M3">
        <v>0</v>
      </c>
      <c r="N3">
        <v>1</v>
      </c>
      <c r="O3">
        <v>2</v>
      </c>
      <c r="P3" s="6">
        <v>44184</v>
      </c>
      <c r="Q3" s="7">
        <f ca="1">TODAY()-P3</f>
        <v>8</v>
      </c>
    </row>
    <row r="4" spans="1:19" x14ac:dyDescent="0.3">
      <c r="A4" t="s">
        <v>37</v>
      </c>
      <c r="B4" s="2">
        <v>449900</v>
      </c>
      <c r="C4" s="2">
        <v>4200</v>
      </c>
      <c r="D4" s="1">
        <f>+B4/C4</f>
        <v>107.11904761904762</v>
      </c>
      <c r="E4">
        <v>5</v>
      </c>
      <c r="F4">
        <v>3.5</v>
      </c>
      <c r="G4" t="s">
        <v>38</v>
      </c>
      <c r="H4">
        <v>2010</v>
      </c>
      <c r="I4" t="s">
        <v>25</v>
      </c>
      <c r="J4">
        <v>0</v>
      </c>
      <c r="K4">
        <v>0</v>
      </c>
      <c r="L4">
        <v>1</v>
      </c>
      <c r="M4">
        <v>1</v>
      </c>
      <c r="N4">
        <v>1</v>
      </c>
      <c r="O4">
        <v>2</v>
      </c>
      <c r="P4" s="6">
        <v>44043</v>
      </c>
      <c r="Q4" s="7">
        <f ca="1">TODAY()-P4</f>
        <v>149</v>
      </c>
    </row>
    <row r="5" spans="1:19" x14ac:dyDescent="0.3">
      <c r="A5" t="s">
        <v>39</v>
      </c>
      <c r="B5" s="2">
        <v>449900</v>
      </c>
      <c r="C5" s="8">
        <v>4877</v>
      </c>
      <c r="D5" s="1">
        <f>+B5/C5</f>
        <v>92.249333606725443</v>
      </c>
      <c r="E5">
        <v>5</v>
      </c>
      <c r="F5">
        <v>3.5</v>
      </c>
      <c r="G5" t="s">
        <v>40</v>
      </c>
      <c r="H5">
        <v>2002</v>
      </c>
      <c r="I5" t="s">
        <v>33</v>
      </c>
      <c r="J5">
        <v>0</v>
      </c>
      <c r="K5">
        <v>0</v>
      </c>
      <c r="L5">
        <v>1</v>
      </c>
      <c r="M5">
        <v>1</v>
      </c>
      <c r="N5">
        <v>1</v>
      </c>
      <c r="O5">
        <v>3</v>
      </c>
      <c r="P5" s="6">
        <v>44075</v>
      </c>
      <c r="Q5" s="7">
        <f ca="1">TODAY()-P5</f>
        <v>117</v>
      </c>
      <c r="S5" s="6">
        <f ca="1">TODAY()</f>
        <v>44192</v>
      </c>
    </row>
    <row r="6" spans="1:19" x14ac:dyDescent="0.3">
      <c r="A6" t="s">
        <v>42</v>
      </c>
      <c r="B6" s="8">
        <v>384900</v>
      </c>
      <c r="C6" s="8">
        <v>4071</v>
      </c>
      <c r="D6" s="1">
        <f>+B6/C6</f>
        <v>94.546794399410459</v>
      </c>
      <c r="E6">
        <v>4</v>
      </c>
      <c r="F6">
        <v>3.5</v>
      </c>
      <c r="G6" t="s">
        <v>43</v>
      </c>
      <c r="H6">
        <v>1998</v>
      </c>
      <c r="I6" t="s">
        <v>32</v>
      </c>
      <c r="J6">
        <v>1</v>
      </c>
      <c r="K6">
        <v>0</v>
      </c>
      <c r="L6">
        <v>0</v>
      </c>
      <c r="M6">
        <v>0</v>
      </c>
      <c r="N6">
        <v>0</v>
      </c>
      <c r="O6">
        <v>4</v>
      </c>
      <c r="P6" s="6">
        <v>44086</v>
      </c>
      <c r="Q6" s="7">
        <f ca="1">TODAY()-P6</f>
        <v>106</v>
      </c>
      <c r="S6">
        <v>110</v>
      </c>
    </row>
    <row r="7" spans="1:19" x14ac:dyDescent="0.3">
      <c r="S7" s="6">
        <f ca="1">+S5-S6</f>
        <v>44082</v>
      </c>
    </row>
    <row r="8" spans="1:19" x14ac:dyDescent="0.3">
      <c r="S8" s="6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607D0-0CF1-4651-9826-BB463BD74EE0}">
  <dimension ref="A1:A3"/>
  <sheetViews>
    <sheetView workbookViewId="0">
      <selection activeCell="A4" sqref="A4"/>
    </sheetView>
  </sheetViews>
  <sheetFormatPr defaultRowHeight="14.4" x14ac:dyDescent="0.3"/>
  <sheetData>
    <row r="1" spans="1:1" x14ac:dyDescent="0.3">
      <c r="A1">
        <v>1150</v>
      </c>
    </row>
    <row r="2" spans="1:1" x14ac:dyDescent="0.3">
      <c r="A2">
        <f>30*12</f>
        <v>360</v>
      </c>
    </row>
    <row r="3" spans="1:1" x14ac:dyDescent="0.3">
      <c r="A3">
        <f>+A2/A1</f>
        <v>0.31304347826086959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FD351-9DE6-4512-AC73-8DCD0A002BE9}">
  <dimension ref="A1:E5"/>
  <sheetViews>
    <sheetView workbookViewId="0">
      <selection activeCell="A6" sqref="A6"/>
    </sheetView>
  </sheetViews>
  <sheetFormatPr defaultRowHeight="14.4" x14ac:dyDescent="0.3"/>
  <cols>
    <col min="1" max="1" width="13.33203125" bestFit="1" customWidth="1"/>
    <col min="2" max="2" width="11.21875" customWidth="1"/>
    <col min="3" max="3" width="10.109375" bestFit="1" customWidth="1"/>
    <col min="4" max="4" width="11.109375" bestFit="1" customWidth="1"/>
    <col min="5" max="5" width="20.21875" bestFit="1" customWidth="1"/>
  </cols>
  <sheetData>
    <row r="1" spans="1:5" x14ac:dyDescent="0.3">
      <c r="A1" s="5" t="s">
        <v>28</v>
      </c>
      <c r="B1" s="5" t="s">
        <v>16</v>
      </c>
      <c r="C1" s="5" t="s">
        <v>30</v>
      </c>
      <c r="D1" s="5" t="s">
        <v>31</v>
      </c>
      <c r="E1" s="5" t="s">
        <v>21</v>
      </c>
    </row>
    <row r="2" spans="1:5" x14ac:dyDescent="0.3">
      <c r="A2" t="s">
        <v>29</v>
      </c>
      <c r="B2">
        <v>2020</v>
      </c>
      <c r="C2" s="2">
        <v>371190</v>
      </c>
      <c r="D2" s="2">
        <v>3005</v>
      </c>
      <c r="E2" s="1">
        <f>+C2/D2</f>
        <v>123.52412645590682</v>
      </c>
    </row>
    <row r="3" spans="1:5" x14ac:dyDescent="0.3">
      <c r="A3" t="s">
        <v>25</v>
      </c>
      <c r="B3">
        <v>2010</v>
      </c>
      <c r="C3" s="2">
        <v>449900</v>
      </c>
      <c r="D3" s="2">
        <v>4200</v>
      </c>
      <c r="E3" s="1">
        <f>+C3/D3</f>
        <v>107.11904761904762</v>
      </c>
    </row>
    <row r="4" spans="1:5" x14ac:dyDescent="0.3">
      <c r="A4" t="s">
        <v>32</v>
      </c>
      <c r="B4">
        <v>1998</v>
      </c>
      <c r="C4" s="2">
        <v>384900</v>
      </c>
      <c r="D4" s="2">
        <v>4071</v>
      </c>
      <c r="E4" s="1">
        <f>+C4/D4</f>
        <v>94.546794399410459</v>
      </c>
    </row>
    <row r="5" spans="1:5" x14ac:dyDescent="0.3">
      <c r="A5" t="s">
        <v>33</v>
      </c>
      <c r="B5">
        <v>2020</v>
      </c>
      <c r="C5" s="2">
        <v>339000</v>
      </c>
      <c r="D5" s="2">
        <v>2607</v>
      </c>
      <c r="E5" s="1">
        <f>+C5/D5</f>
        <v>130.03452243958574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B1E1-3A32-463A-B1CE-5237275819E5}">
  <dimension ref="A1:H24"/>
  <sheetViews>
    <sheetView tabSelected="1" workbookViewId="0"/>
  </sheetViews>
  <sheetFormatPr defaultRowHeight="14.4" x14ac:dyDescent="0.3"/>
  <cols>
    <col min="1" max="1" width="28.44140625" bestFit="1" customWidth="1"/>
    <col min="2" max="2" width="9.109375" bestFit="1" customWidth="1"/>
    <col min="5" max="5" width="17.77734375" bestFit="1" customWidth="1"/>
  </cols>
  <sheetData>
    <row r="1" spans="1:8" x14ac:dyDescent="0.3">
      <c r="A1" t="s">
        <v>44</v>
      </c>
      <c r="B1" s="2">
        <v>6158</v>
      </c>
      <c r="E1" t="s">
        <v>64</v>
      </c>
      <c r="F1" s="11">
        <v>111000</v>
      </c>
      <c r="G1" s="2">
        <f>F1/12</f>
        <v>9250</v>
      </c>
      <c r="H1" s="2">
        <f>+G1*0.28</f>
        <v>2590.0000000000005</v>
      </c>
    </row>
    <row r="2" spans="1:8" x14ac:dyDescent="0.3">
      <c r="A2" t="s">
        <v>63</v>
      </c>
      <c r="B2" s="2">
        <f>(F1*0.05)/12</f>
        <v>462.5</v>
      </c>
      <c r="F2" s="2"/>
      <c r="G2" s="2"/>
      <c r="H2" s="2"/>
    </row>
    <row r="3" spans="1:8" x14ac:dyDescent="0.3">
      <c r="A3" s="9" t="s">
        <v>47</v>
      </c>
      <c r="B3" s="10">
        <v>1040</v>
      </c>
      <c r="C3" s="10">
        <f>SUM(B3:B5)</f>
        <v>1540</v>
      </c>
    </row>
    <row r="4" spans="1:8" x14ac:dyDescent="0.3">
      <c r="A4" s="9" t="s">
        <v>45</v>
      </c>
      <c r="B4" s="10">
        <v>300</v>
      </c>
    </row>
    <row r="5" spans="1:8" x14ac:dyDescent="0.3">
      <c r="A5" s="9" t="s">
        <v>46</v>
      </c>
      <c r="B5" s="10">
        <v>200</v>
      </c>
    </row>
    <row r="6" spans="1:8" x14ac:dyDescent="0.3">
      <c r="A6" t="s">
        <v>49</v>
      </c>
      <c r="B6" s="2">
        <v>650</v>
      </c>
    </row>
    <row r="7" spans="1:8" x14ac:dyDescent="0.3">
      <c r="A7" t="s">
        <v>50</v>
      </c>
      <c r="B7" s="2">
        <v>200</v>
      </c>
    </row>
    <row r="8" spans="1:8" x14ac:dyDescent="0.3">
      <c r="A8" t="s">
        <v>51</v>
      </c>
      <c r="B8" s="2">
        <v>1500</v>
      </c>
    </row>
    <row r="9" spans="1:8" x14ac:dyDescent="0.3">
      <c r="A9" t="s">
        <v>52</v>
      </c>
      <c r="B9" s="2">
        <f>1230/12</f>
        <v>102.5</v>
      </c>
    </row>
    <row r="10" spans="1:8" x14ac:dyDescent="0.3">
      <c r="A10" t="s">
        <v>53</v>
      </c>
      <c r="B10" s="2">
        <v>240</v>
      </c>
    </row>
    <row r="11" spans="1:8" x14ac:dyDescent="0.3">
      <c r="A11" t="s">
        <v>54</v>
      </c>
      <c r="B11" s="2">
        <v>30</v>
      </c>
    </row>
    <row r="12" spans="1:8" x14ac:dyDescent="0.3">
      <c r="A12" t="s">
        <v>55</v>
      </c>
      <c r="B12" s="2">
        <f>130/12</f>
        <v>10.833333333333334</v>
      </c>
    </row>
    <row r="13" spans="1:8" x14ac:dyDescent="0.3">
      <c r="A13" t="s">
        <v>56</v>
      </c>
      <c r="B13" s="2">
        <f>120/12</f>
        <v>10</v>
      </c>
    </row>
    <row r="14" spans="1:8" x14ac:dyDescent="0.3">
      <c r="A14" t="s">
        <v>57</v>
      </c>
      <c r="B14" s="2">
        <f>3000/12</f>
        <v>250</v>
      </c>
    </row>
    <row r="15" spans="1:8" x14ac:dyDescent="0.3">
      <c r="A15" t="s">
        <v>58</v>
      </c>
      <c r="B15" s="2">
        <v>10</v>
      </c>
    </row>
    <row r="16" spans="1:8" x14ac:dyDescent="0.3">
      <c r="A16" t="s">
        <v>59</v>
      </c>
      <c r="B16" s="2">
        <f>80/12</f>
        <v>6.666666666666667</v>
      </c>
    </row>
    <row r="17" spans="1:2" x14ac:dyDescent="0.3">
      <c r="A17" t="s">
        <v>60</v>
      </c>
      <c r="B17" s="2">
        <f>1000/12</f>
        <v>83.333333333333329</v>
      </c>
    </row>
    <row r="18" spans="1:2" x14ac:dyDescent="0.3">
      <c r="A18" t="s">
        <v>61</v>
      </c>
      <c r="B18" s="2">
        <f>3000/12</f>
        <v>250</v>
      </c>
    </row>
    <row r="19" spans="1:2" x14ac:dyDescent="0.3">
      <c r="A19" t="s">
        <v>62</v>
      </c>
      <c r="B19" s="2">
        <v>30</v>
      </c>
    </row>
    <row r="20" spans="1:2" x14ac:dyDescent="0.3">
      <c r="B20" s="2"/>
    </row>
    <row r="21" spans="1:2" x14ac:dyDescent="0.3">
      <c r="B21" s="2"/>
    </row>
    <row r="24" spans="1:2" x14ac:dyDescent="0.3">
      <c r="A24" t="s">
        <v>48</v>
      </c>
      <c r="B24" s="2">
        <f>B1-SUM(B2:B22)</f>
        <v>782.16666666666697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home_sale</vt:lpstr>
      <vt:lpstr>new_home</vt:lpstr>
      <vt:lpstr>Sheet1</vt:lpstr>
      <vt:lpstr>comps</vt:lpstr>
      <vt:lpstr>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</dc:creator>
  <cp:lastModifiedBy>Jason Walker</cp:lastModifiedBy>
  <dcterms:created xsi:type="dcterms:W3CDTF">2020-12-02T00:50:11Z</dcterms:created>
  <dcterms:modified xsi:type="dcterms:W3CDTF">2020-12-28T02:49:57Z</dcterms:modified>
</cp:coreProperties>
</file>